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 Practical-5 26302A3005excel " sheetId="1" r:id="rId1"/>
    <sheet name="SM Practical-5 26302A3005ex (1)" sheetId="2" r:id="rId2"/>
    <sheet name="SM Practical-5 26302A3005ex (2)" sheetId="3" r:id="rId3"/>
    <sheet name="SM Practical-5 26302A3005ex (3)" sheetId="4" r:id="rId4"/>
    <sheet name="SM Practical-5 26302A3005ex (4)" sheetId="5" r:id="rId5"/>
    <sheet name="SM Practical-4 26302A3005excel " sheetId="6" r:id="rId6"/>
    <sheet name="SM Practical-4 26302A3005ex (1)" sheetId="7" r:id="rId7"/>
    <sheet name="SM Practical-4 26302A3005ex (2)" sheetId="8" r:id="rId8"/>
    <sheet name="SM Practical-4 26302A3005ex (3)" sheetId="9" r:id="rId9"/>
    <sheet name="SM Practical-4 26302A3005ex (4)" sheetId="10" r:id="rId10"/>
    <sheet name="SM Practical-3 26302A3005excel " sheetId="11" r:id="rId11"/>
    <sheet name="SM Practical-3 26302A3005ex (1)" sheetId="12" r:id="rId12"/>
    <sheet name="SM Practical-3 26302A3005ex (2)" sheetId="13" r:id="rId13"/>
    <sheet name="SM Practical-3 26302A3005ex (3)" sheetId="14" r:id="rId14"/>
    <sheet name="SM Practical-3 26302A3005ex (4)" sheetId="15" r:id="rId15"/>
    <sheet name="SM Practical-3 26302A3005ex (5)" sheetId="16" r:id="rId16"/>
    <sheet name="SM Practical-1 26302A3005excel 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 =</v>
      </c>
      <c r="B1">
        <v>5</v>
      </c>
    </row>
    <row r="2">
      <c r="A2" t="str">
        <v>p =</v>
      </c>
      <c r="B2">
        <v>0.4</v>
      </c>
    </row>
    <row r="3">
      <c r="A3" t="str">
        <v>1 - p</v>
      </c>
      <c r="B3">
        <f>1-B2</f>
        <v>0.6</v>
      </c>
    </row>
    <row r="4">
      <c r="A4" t="str">
        <v>x &lt;= 2 =</v>
      </c>
      <c r="B4">
        <v>3</v>
      </c>
    </row>
    <row r="5">
      <c r="A5" t="str">
        <v>x &gt; 2 =</v>
      </c>
      <c r="B5">
        <v>1</v>
      </c>
    </row>
    <row r="8">
      <c r="A8" t="str">
        <v>PMF</v>
      </c>
      <c r="B8">
        <f>BINOM.DIST(B4,B1,B2, FALSE)</f>
        <v>0.2304</v>
      </c>
    </row>
    <row r="9">
      <c r="A9" t="str">
        <v>CDF P(X &lt;= 2)</v>
      </c>
      <c r="B9">
        <f>BINOM.DIST(B4,B1,B2, TRUE)</f>
        <v>0.91296</v>
      </c>
    </row>
    <row r="10">
      <c r="A10" t="str">
        <v>CDF P(X &gt; 2)</v>
      </c>
      <c r="B10">
        <f>BINOM.DIST(B5,B1,B2,TRUE)</f>
        <v>0.3369599999999999</v>
      </c>
    </row>
    <row r="11">
      <c r="A11" t="str">
        <v>CDF P(X &gt;= 2</v>
      </c>
      <c r="B11">
        <f>(1-B10)</f>
        <v>0.6630400000000001</v>
      </c>
    </row>
  </sheetData>
  <pageMargins left="0.7" right="0.7" top="0.75" bottom="0.75" header="0.3" footer="0.3"/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 =</v>
      </c>
      <c r="B1">
        <v>10</v>
      </c>
    </row>
    <row r="2">
      <c r="A2" t="str">
        <v xml:space="preserve">p = </v>
      </c>
      <c r="B2">
        <v>0.5</v>
      </c>
    </row>
    <row r="3">
      <c r="A3" t="str">
        <v>1 -  p =</v>
      </c>
      <c r="B3">
        <f>1-B2</f>
        <v>0.5</v>
      </c>
    </row>
    <row r="5">
      <c r="A5" t="str">
        <v>Expectation of X =</v>
      </c>
    </row>
    <row r="6">
      <c r="A6" t="str">
        <v>X ~ BINOMIAL =</v>
      </c>
      <c r="B6" t="str">
        <v>N*p</v>
      </c>
    </row>
    <row r="7">
      <c r="A7" t="str">
        <v>E[X]</v>
      </c>
      <c r="B7">
        <f>B1*B2</f>
        <v>5</v>
      </c>
    </row>
  </sheetData>
  <pageMargins left="0.7" right="0.7" top="0.75" bottom="0.75" header="0.3" footer="0.3"/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 xml:space="preserve">n = </v>
      </c>
      <c r="B1">
        <v>20</v>
      </c>
    </row>
    <row r="2">
      <c r="A2" t="str">
        <v xml:space="preserve">p = </v>
      </c>
      <c r="B2">
        <v>0.35</v>
      </c>
    </row>
    <row r="3">
      <c r="A3" t="str">
        <v>1 - p =</v>
      </c>
      <c r="B3">
        <f>1-B2</f>
        <v>0.65</v>
      </c>
    </row>
    <row r="5">
      <c r="A5" t="str">
        <v>Var (X)</v>
      </c>
      <c r="B5">
        <f>B1*B2*B3</f>
        <v>4.55</v>
      </c>
    </row>
    <row r="6">
      <c r="A6" t="str">
        <v>SD (X)</v>
      </c>
      <c r="B6">
        <f>SQRT(B5)</f>
        <v>2.1330729007701543</v>
      </c>
    </row>
  </sheetData>
  <pageMargins left="0.7" right="0.7" top="0.75" bottom="0.75" header="0.3" footer="0.3"/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D10"/>
  <sheetViews>
    <sheetView workbookViewId="0"/>
  </sheetViews>
  <sheetData>
    <row r="1">
      <c r="B1" t="str">
        <v xml:space="preserve">n = </v>
      </c>
      <c r="C1">
        <v>4</v>
      </c>
    </row>
    <row r="2">
      <c r="B2" t="str">
        <v xml:space="preserve">p = </v>
      </c>
      <c r="C2">
        <v>0.3</v>
      </c>
    </row>
    <row r="3">
      <c r="B3" t="str">
        <v xml:space="preserve">1 - p = </v>
      </c>
      <c r="C3">
        <f>1-C2</f>
        <v>0.7</v>
      </c>
    </row>
    <row r="5">
      <c r="B5" t="str">
        <v>X = x</v>
      </c>
      <c r="C5" t="str">
        <v>P(X = x)</v>
      </c>
      <c r="D5" t="str">
        <v>P(X &lt;= x)</v>
      </c>
    </row>
    <row r="6">
      <c r="B6">
        <v>0</v>
      </c>
      <c r="C6">
        <f>BINOM.DIST(B6,C1,C2, FALSE)</f>
        <v>0.24009999999999998</v>
      </c>
      <c r="D6">
        <f>BINOM.DIST(B6,C1,C2, TRUE)</f>
        <v>0.24009999999999998</v>
      </c>
    </row>
    <row r="7">
      <c r="B7">
        <v>1</v>
      </c>
      <c r="C7">
        <f>BINOM.DIST(B7,C1,C2, FALSE)</f>
        <v>0.4115999999999999</v>
      </c>
      <c r="D7">
        <f>BINOM.DIST(B7,C1,C2, TRUE)</f>
        <v>0.6517000000000001</v>
      </c>
    </row>
    <row r="8">
      <c r="B8">
        <v>2</v>
      </c>
      <c r="C8">
        <f>BINOM.DIST(B8,C1,C2, FALSE)</f>
        <v>0.2646</v>
      </c>
      <c r="D8">
        <f>BINOM.DIST(B8,C1,C2,TRUE)</f>
        <v>0.9163000000000001</v>
      </c>
    </row>
    <row r="9">
      <c r="B9">
        <v>3</v>
      </c>
      <c r="C9">
        <f>BINOM.DIST(B9,C1,C2, FALSE)</f>
        <v>0.07559999999999999</v>
      </c>
      <c r="D9">
        <f>BINOM.DIST(B9,C1,C2,TRUE)</f>
        <v>0.9919</v>
      </c>
    </row>
    <row r="10">
      <c r="B10">
        <v>4</v>
      </c>
      <c r="C10">
        <f>BINOM.DIST(B10,C1,C2, FALSE)</f>
        <v>0.008099999999999996</v>
      </c>
      <c r="D10">
        <f>BINOM.DIST(B10,C1,C2,TRUE)</f>
        <v>1</v>
      </c>
    </row>
  </sheetData>
  <pageMargins left="0.7" right="0.7" top="0.75" bottom="0.75" header="0.3" footer="0.3"/>
  <ignoredErrors>
    <ignoredError numberStoredAsText="1" sqref="B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 xml:space="preserve">n = </v>
      </c>
      <c r="B1">
        <v>5</v>
      </c>
    </row>
    <row r="2">
      <c r="A2" t="str">
        <v xml:space="preserve">p = </v>
      </c>
      <c r="B2">
        <v>0.5</v>
      </c>
    </row>
    <row r="3">
      <c r="A3" t="str">
        <v xml:space="preserve">1 - p = </v>
      </c>
      <c r="B3">
        <f>1-B2</f>
        <v>0.5</v>
      </c>
    </row>
    <row r="5">
      <c r="A5" t="str">
        <v>X = x</v>
      </c>
      <c r="B5" t="str">
        <v>P(X = x)</v>
      </c>
      <c r="C5" t="str">
        <v>P(X &lt;= x)</v>
      </c>
    </row>
    <row r="6">
      <c r="A6">
        <v>0</v>
      </c>
      <c r="B6">
        <f>BINOM.DIST(A6,B1,B2,FALSE)</f>
        <v>0.03125</v>
      </c>
      <c r="C6">
        <f>BINOM.DIST(A6,B1,B2,TRUE)</f>
        <v>0.03125</v>
      </c>
    </row>
    <row r="7">
      <c r="A7">
        <v>1</v>
      </c>
      <c r="B7">
        <f>BINOM.DIST(A7,B1,B2,FALSE)</f>
        <v>0.15624999999999992</v>
      </c>
      <c r="C7">
        <f>BINOM.DIST(A7,B1,B2,TRUE)</f>
        <v>0.18750000000000003</v>
      </c>
    </row>
    <row r="8">
      <c r="A8">
        <v>2</v>
      </c>
      <c r="B8">
        <f>BINOM.DIST(A8,B1,B2,FALSE)</f>
        <v>0.3125</v>
      </c>
      <c r="C8">
        <f>BINOM.DIST(A8,B1,B2,TRUE)</f>
        <v>0.4999999999999999</v>
      </c>
    </row>
    <row r="9">
      <c r="A9">
        <v>3</v>
      </c>
      <c r="B9">
        <f>BINOM.DIST(A9,B1,B2,FALSE)</f>
        <v>0.3125</v>
      </c>
      <c r="C9">
        <f>BINOM.DIST(A9,B1,B2,TRUE)</f>
        <v>0.8125</v>
      </c>
    </row>
    <row r="10">
      <c r="A10">
        <v>4</v>
      </c>
      <c r="B10">
        <f>BINOM.DIST(A10,B1,B2,FALSE)</f>
        <v>0.15624999999999992</v>
      </c>
      <c r="C10">
        <f>BINOM.DIST(A10,B1,B2,TRUE)</f>
        <v>0.96875</v>
      </c>
    </row>
    <row r="11">
      <c r="A11">
        <v>5</v>
      </c>
      <c r="B11">
        <f>BINOM.DIST(A11,B1,B2,FALSE)</f>
        <v>0.03125</v>
      </c>
      <c r="C11">
        <f>BINOM.DIST(A11,B1,B2,TRUE)</f>
        <v>1</v>
      </c>
    </row>
  </sheetData>
  <pageMargins left="0.7" right="0.7" top="0.75" bottom="0.75" header="0.3" footer="0.3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X/Y</v>
      </c>
      <c r="B1" t="str">
        <v>Y</v>
      </c>
      <c r="C1" t="str">
        <v>Y</v>
      </c>
      <c r="D1" t="str">
        <v>Y</v>
      </c>
    </row>
    <row r="2">
      <c r="A2" t="str">
        <v>X/Y</v>
      </c>
      <c r="B2">
        <v>0</v>
      </c>
      <c r="C2">
        <v>1</v>
      </c>
      <c r="D2">
        <v>2</v>
      </c>
    </row>
    <row r="3">
      <c r="A3">
        <v>1</v>
      </c>
      <c r="B3">
        <v>0.15</v>
      </c>
      <c r="C3">
        <v>0.3</v>
      </c>
      <c r="D3">
        <v>0.15</v>
      </c>
    </row>
    <row r="4">
      <c r="A4">
        <v>2</v>
      </c>
      <c r="B4">
        <v>0.15</v>
      </c>
      <c r="C4">
        <v>0.05</v>
      </c>
      <c r="D4">
        <v>0.2</v>
      </c>
    </row>
    <row r="6">
      <c r="A6" t="str">
        <v>Total Probability</v>
      </c>
      <c r="B6">
        <v>1</v>
      </c>
    </row>
    <row r="7">
      <c r="A7" t="str">
        <v>P(X=1)</v>
      </c>
      <c r="B7">
        <f>SUM(B3:D3)</f>
        <v>0.6</v>
      </c>
    </row>
    <row r="8">
      <c r="A8" t="str">
        <v>P(X=2)</v>
      </c>
      <c r="B8">
        <f>SUM(B4:D4)</f>
        <v>0.4</v>
      </c>
    </row>
    <row r="9">
      <c r="A9" t="str">
        <v>P(Y=0)</v>
      </c>
      <c r="B9">
        <f>SUM(B3:B4)</f>
        <v>0.3</v>
      </c>
    </row>
    <row r="10">
      <c r="A10" t="str">
        <v>P(Y=1)</v>
      </c>
      <c r="B10">
        <f>SUM(C3:C4)</f>
        <v>0.35</v>
      </c>
    </row>
    <row r="11">
      <c r="A11" t="str">
        <v>P(Y=2)</v>
      </c>
      <c r="B11">
        <f>SUM(D3:D4)</f>
        <v>0.35</v>
      </c>
    </row>
  </sheetData>
  <pageMargins left="0.7" right="0.7" top="0.75" bottom="0.75" header="0.3" footer="0.3"/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X/Y</v>
      </c>
      <c r="B1" t="str">
        <v>Y</v>
      </c>
      <c r="C1" t="str">
        <v>Y</v>
      </c>
      <c r="D1" t="str">
        <v>Y</v>
      </c>
    </row>
    <row r="2">
      <c r="A2" t="str">
        <v>X/Y</v>
      </c>
      <c r="B2">
        <v>0</v>
      </c>
      <c r="C2">
        <v>1</v>
      </c>
      <c r="D2">
        <v>2</v>
      </c>
    </row>
    <row r="3">
      <c r="A3">
        <v>1</v>
      </c>
      <c r="B3">
        <v>0.15</v>
      </c>
      <c r="C3">
        <v>0.3</v>
      </c>
      <c r="D3">
        <v>0.15</v>
      </c>
    </row>
    <row r="4">
      <c r="A4">
        <v>2</v>
      </c>
      <c r="B4">
        <v>0.15</v>
      </c>
      <c r="C4">
        <v>0.05</v>
      </c>
      <c r="D4">
        <v>0.2</v>
      </c>
    </row>
    <row r="6">
      <c r="A6" t="str">
        <v>Total Probability</v>
      </c>
      <c r="B6">
        <v>1</v>
      </c>
    </row>
    <row r="7">
      <c r="A7" t="str">
        <v>P(X=1)</v>
      </c>
      <c r="B7">
        <f>SUM(B3:D3)</f>
        <v>0.6</v>
      </c>
    </row>
    <row r="8">
      <c r="A8" t="str">
        <v>P(X=2)</v>
      </c>
      <c r="B8">
        <f>SUM(B4:D4)</f>
        <v>0.4</v>
      </c>
    </row>
    <row r="9">
      <c r="A9" t="str">
        <v>P(Y=0)</v>
      </c>
      <c r="B9">
        <f>SUM(B3:B4)</f>
        <v>0.3</v>
      </c>
    </row>
    <row r="10">
      <c r="A10" t="str">
        <v>P(Y=1)</v>
      </c>
      <c r="B10">
        <f>SUM(C3:C4)</f>
        <v>0.35</v>
      </c>
    </row>
    <row r="11">
      <c r="A11" t="str">
        <v>P(Y=2)</v>
      </c>
      <c r="B11">
        <f>SUM(D3:D4)</f>
        <v>0.35</v>
      </c>
    </row>
    <row r="13">
      <c r="A13" t="str">
        <v>E[X] = SUM * Probability of X</v>
      </c>
    </row>
    <row r="14">
      <c r="A14" t="str">
        <v>E[X]</v>
      </c>
      <c r="B14">
        <f>(A3*B7)+(A4*B8)</f>
        <v>1.4</v>
      </c>
    </row>
    <row r="16">
      <c r="A16" t="str">
        <v>E[Y] = SUM * Probability of Y</v>
      </c>
    </row>
    <row r="17">
      <c r="A17" t="str">
        <v>E[Y]</v>
      </c>
      <c r="B17">
        <f>(B2*B9)+(C2*B10)+(D2*B11)</f>
        <v>1.0499999999999998</v>
      </c>
    </row>
  </sheetData>
  <pageMargins left="0.7" right="0.7" top="0.75" bottom="0.75" header="0.3" footer="0.3"/>
  <ignoredErrors>
    <ignoredError numberStoredAsText="1" sqref="A1:D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X/Y</v>
      </c>
      <c r="B1" t="str">
        <v>Y</v>
      </c>
      <c r="C1" t="str">
        <v>Y</v>
      </c>
      <c r="D1" t="str">
        <v>Y</v>
      </c>
    </row>
    <row r="2">
      <c r="A2" t="str">
        <v>X/Y</v>
      </c>
      <c r="B2">
        <v>0</v>
      </c>
      <c r="C2">
        <v>1</v>
      </c>
      <c r="D2">
        <v>2</v>
      </c>
    </row>
    <row r="3">
      <c r="A3">
        <v>1</v>
      </c>
      <c r="B3">
        <v>0.15</v>
      </c>
      <c r="C3">
        <v>0.3</v>
      </c>
      <c r="D3">
        <v>0.15</v>
      </c>
    </row>
    <row r="4">
      <c r="A4">
        <v>2</v>
      </c>
      <c r="B4">
        <v>0.15</v>
      </c>
      <c r="C4">
        <v>0.05</v>
      </c>
      <c r="D4">
        <v>0.2</v>
      </c>
    </row>
    <row r="6">
      <c r="A6" t="str">
        <v>Total Probability</v>
      </c>
      <c r="B6">
        <v>1</v>
      </c>
    </row>
    <row r="7">
      <c r="A7" t="str">
        <v>P(X=1)</v>
      </c>
      <c r="B7">
        <f>SUM(B3:D3)</f>
        <v>0.6</v>
      </c>
    </row>
    <row r="8">
      <c r="A8" t="str">
        <v>P(X=2)</v>
      </c>
      <c r="B8">
        <f>SUM(B4:D4)</f>
        <v>0.4</v>
      </c>
    </row>
    <row r="9">
      <c r="A9" t="str">
        <v>P(Y=0)</v>
      </c>
      <c r="B9">
        <f>SUM(B3:B4)</f>
        <v>0.3</v>
      </c>
    </row>
    <row r="10">
      <c r="A10" t="str">
        <v>P(Y=1)</v>
      </c>
      <c r="B10">
        <f>SUM(C3:C4)</f>
        <v>0.35</v>
      </c>
    </row>
    <row r="11">
      <c r="A11" t="str">
        <v>P(Y=2)</v>
      </c>
      <c r="B11">
        <f>SUM(D3:D4)</f>
        <v>0.35</v>
      </c>
    </row>
    <row r="14">
      <c r="A14" t="str">
        <v>E[XY]</v>
      </c>
      <c r="B14">
        <f>SUM(PRODUCT(A3,B2,B3),PRODUCT(A3,C2,C3),PRODUCT(A3,D2,D3),PRODUCT(A4,B2,B4),PRODUCT(A4,C2,C4),PRODUCT(A4,D2,D4))</f>
        <v>1.5</v>
      </c>
    </row>
  </sheetData>
  <pageMargins left="0.7" right="0.7" top="0.75" bottom="0.75" header="0.3" footer="0.3"/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X/Y</v>
      </c>
      <c r="B1" t="str">
        <v>Y</v>
      </c>
      <c r="C1" t="str">
        <v>Y</v>
      </c>
      <c r="D1" t="str">
        <v>Y</v>
      </c>
    </row>
    <row r="2">
      <c r="A2" t="str">
        <v>X/Y</v>
      </c>
      <c r="B2">
        <v>0</v>
      </c>
      <c r="C2">
        <v>1</v>
      </c>
      <c r="D2">
        <v>2</v>
      </c>
    </row>
    <row r="3">
      <c r="A3">
        <v>1</v>
      </c>
      <c r="B3">
        <v>0.15</v>
      </c>
      <c r="C3">
        <v>0.3</v>
      </c>
      <c r="D3">
        <v>0.15</v>
      </c>
    </row>
    <row r="4">
      <c r="A4">
        <v>2</v>
      </c>
      <c r="B4">
        <v>0.15</v>
      </c>
      <c r="C4">
        <v>0.05</v>
      </c>
      <c r="D4">
        <v>0.2</v>
      </c>
    </row>
    <row r="6">
      <c r="A6" t="str">
        <v>Total Probability</v>
      </c>
      <c r="B6">
        <v>1</v>
      </c>
    </row>
    <row r="7">
      <c r="A7" t="str">
        <v>P(X=1)</v>
      </c>
      <c r="B7">
        <f>SUM(B3:D3)</f>
        <v>0.6</v>
      </c>
    </row>
    <row r="8">
      <c r="A8" t="str">
        <v>P(X=2)</v>
      </c>
      <c r="B8">
        <f>SUM(B4:D4)</f>
        <v>0.4</v>
      </c>
    </row>
    <row r="9">
      <c r="A9" t="str">
        <v>P(Y=0)</v>
      </c>
      <c r="B9">
        <f>SUM(B3:B4)</f>
        <v>0.3</v>
      </c>
    </row>
    <row r="10">
      <c r="A10" t="str">
        <v>P(Y=1)</v>
      </c>
      <c r="B10">
        <f>SUM(C3:C4)</f>
        <v>0.35</v>
      </c>
    </row>
    <row r="11">
      <c r="A11" t="str">
        <v>P(Y=2)</v>
      </c>
      <c r="B11">
        <f>SUM(D3:D4)</f>
        <v>0.35</v>
      </c>
    </row>
    <row r="13">
      <c r="A13" t="str">
        <v>E[X] = SUM * Probability of X</v>
      </c>
    </row>
    <row r="14">
      <c r="A14" t="str">
        <v>E[X]</v>
      </c>
      <c r="B14">
        <f>('Q2'!A3*'Q2'!B7)+('Q2'!A4*'Q2'!B8)</f>
        <v>1.4</v>
      </c>
    </row>
    <row r="16">
      <c r="A16" t="str">
        <v>E[Y] = SUM * Probability of Y</v>
      </c>
    </row>
    <row r="17">
      <c r="A17" t="str">
        <v>E[Y]</v>
      </c>
      <c r="B17">
        <f>('Q2'!B2*'Q2'!B9)+('Q2'!C2*'Q2'!B10)+('Q2'!D2*'Q2'!B11)</f>
        <v>1.0499999999999998</v>
      </c>
    </row>
    <row r="20">
      <c r="A20" t="str">
        <v>E[X^2]</v>
      </c>
      <c r="B20">
        <f>SUM(PRODUCT(A3,A3,B7)+PRODUCT(A4,A4,B8))</f>
        <v>2.2</v>
      </c>
    </row>
    <row r="21">
      <c r="A21" t="str">
        <v>X[X]^2</v>
      </c>
      <c r="B21">
        <f>B14*B14</f>
        <v>1.9599999999999997</v>
      </c>
    </row>
    <row r="22">
      <c r="A22" t="str">
        <v>Var[X]</v>
      </c>
      <c r="B22">
        <f>B20-B21</f>
        <v>0.24000000000000044</v>
      </c>
    </row>
    <row r="24">
      <c r="A24" t="str">
        <v>E[Y^2]</v>
      </c>
      <c r="B24">
        <f>SUM(PRODUCT(B2,B2,B9)+PRODUCT(C2,C2,B10)+PRODUCT(D2,D2,B11))</f>
        <v>1.75</v>
      </c>
    </row>
    <row r="25">
      <c r="A25" t="str">
        <v>E[Y]^2</v>
      </c>
      <c r="B25">
        <f>B17*B17</f>
        <v>1.1024999999999996</v>
      </c>
    </row>
    <row r="26">
      <c r="A26" t="str">
        <v>Var[X]</v>
      </c>
      <c r="B26">
        <f>B24-B25</f>
        <v>0.6475000000000004</v>
      </c>
    </row>
  </sheetData>
  <pageMargins left="0.7" right="0.7" top="0.75" bottom="0.75" header="0.3" footer="0.3"/>
  <ignoredErrors>
    <ignoredError numberStoredAsText="1" sqref="A1:D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X/Y</v>
      </c>
      <c r="B1" t="str">
        <v>Y</v>
      </c>
      <c r="C1" t="str">
        <v>Y</v>
      </c>
      <c r="D1" t="str">
        <v>Y</v>
      </c>
    </row>
    <row r="2">
      <c r="A2" t="str">
        <v>X/Y</v>
      </c>
      <c r="B2">
        <v>0</v>
      </c>
      <c r="C2">
        <v>1</v>
      </c>
      <c r="D2">
        <v>2</v>
      </c>
    </row>
    <row r="3">
      <c r="A3">
        <v>1</v>
      </c>
      <c r="B3">
        <v>0.15</v>
      </c>
      <c r="C3">
        <v>0.3</v>
      </c>
      <c r="D3">
        <v>0.15</v>
      </c>
    </row>
    <row r="4">
      <c r="A4">
        <v>2</v>
      </c>
      <c r="B4">
        <v>0.15</v>
      </c>
      <c r="C4">
        <v>0.05</v>
      </c>
      <c r="D4">
        <v>0.2</v>
      </c>
    </row>
    <row r="6">
      <c r="A6" t="str">
        <v>Total Probability</v>
      </c>
      <c r="B6">
        <v>1</v>
      </c>
    </row>
    <row r="7">
      <c r="A7" t="str">
        <v>P(X=1)</v>
      </c>
      <c r="B7">
        <f>SUM(B3:D3)</f>
        <v>0.6</v>
      </c>
    </row>
    <row r="8">
      <c r="A8" t="str">
        <v>P(X=2)</v>
      </c>
      <c r="B8">
        <f>SUM(B4:D4)</f>
        <v>0.4</v>
      </c>
    </row>
    <row r="9">
      <c r="A9" t="str">
        <v>P(Y=0)</v>
      </c>
      <c r="B9">
        <f>SUM(B3:B4)</f>
        <v>0.3</v>
      </c>
    </row>
    <row r="10">
      <c r="A10" t="str">
        <v>P(Y=1)</v>
      </c>
      <c r="B10">
        <f>SUM(C3:C4)</f>
        <v>0.35</v>
      </c>
    </row>
    <row r="11">
      <c r="A11" t="str">
        <v>P(Y=2)</v>
      </c>
      <c r="B11">
        <f>SUM(D3:D4)</f>
        <v>0.35</v>
      </c>
    </row>
    <row r="13">
      <c r="A13" t="str">
        <v>E[X] = SUM * Probability of X</v>
      </c>
    </row>
    <row r="14">
      <c r="A14" t="str">
        <v>E[X]</v>
      </c>
      <c r="B14">
        <f>('Q2'!A3*'Q2'!B7)+('Q2'!A4*'Q2'!B8)</f>
        <v>1.4</v>
      </c>
    </row>
    <row r="16">
      <c r="A16" t="str">
        <v>E[Y] = SUM * Probability of Y</v>
      </c>
    </row>
    <row r="17">
      <c r="A17" t="str">
        <v>E[Y]</v>
      </c>
      <c r="B17">
        <f>('Q2'!B2*'Q2'!B9)+('Q2'!C2*'Q2'!B10)+('Q2'!D2*'Q2'!B11)</f>
        <v>1.0499999999999998</v>
      </c>
    </row>
    <row r="20">
      <c r="A20" t="str">
        <v>E[X^2]</v>
      </c>
      <c r="B20">
        <f>SUM(PRODUCT(A3,A3,B7)+PRODUCT(A4,A4,B8))</f>
        <v>2.2</v>
      </c>
    </row>
    <row r="21">
      <c r="A21" t="str">
        <v>X[X]^2</v>
      </c>
      <c r="B21">
        <f>B14*B14</f>
        <v>1.9599999999999997</v>
      </c>
    </row>
    <row r="22">
      <c r="A22" t="str">
        <v>Var[X]</v>
      </c>
      <c r="B22">
        <f>B20-B21</f>
        <v>0.24000000000000044</v>
      </c>
    </row>
    <row r="24">
      <c r="A24" t="str">
        <v>E[Y^2]</v>
      </c>
      <c r="B24">
        <f>SUM(PRODUCT(B2,B2,B9)+PRODUCT(C2,C2,B10)+PRODUCT(D2,D2,B11))</f>
        <v>1.75</v>
      </c>
    </row>
    <row r="25">
      <c r="A25" t="str">
        <v>E[Y]^2</v>
      </c>
      <c r="B25">
        <f>B17*B17</f>
        <v>1.1024999999999996</v>
      </c>
    </row>
    <row r="26">
      <c r="A26" t="str">
        <v>Var[Y]</v>
      </c>
      <c r="B26">
        <f>B24-B25</f>
        <v>0.6475000000000004</v>
      </c>
    </row>
    <row r="28">
      <c r="A28" t="str">
        <v>E[XY]</v>
      </c>
      <c r="B28">
        <f>SUM(PRODUCT(A3,B2,B3),PRODUCT(A3,C2,C3),PRODUCT(A3,D2,D3),PRODUCT(A4,B2,B4),PRODUCT(A4,C2,C4),PRODUCT(A4,D2,D4))</f>
        <v>1.5</v>
      </c>
    </row>
    <row r="30">
      <c r="A30" t="str">
        <v>Cov (X,Y)</v>
      </c>
      <c r="B30">
        <f>B28-(B14*B17)</f>
        <v>0.03000000000000025</v>
      </c>
    </row>
    <row r="31">
      <c r="A31" t="str">
        <v>Correlation Coefficient</v>
      </c>
      <c r="B31">
        <f>B30/(SQRT(B22)*SQRT(B26))</f>
        <v>0.07610194341477669</v>
      </c>
    </row>
  </sheetData>
  <pageMargins left="0.7" right="0.7" top="0.75" bottom="0.75" header="0.3" footer="0.3"/>
  <ignoredErrors>
    <ignoredError numberStoredAsText="1" sqref="A1:D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n(S)</v>
      </c>
      <c r="B1">
        <v>36</v>
      </c>
    </row>
    <row r="2">
      <c r="A2" t="str">
        <v>A = { (4,4),(4,5),(4,6),(5,5),(5,6),(6,6)}</v>
      </c>
    </row>
    <row r="3">
      <c r="A3" t="str">
        <v>n(A)</v>
      </c>
      <c r="B3">
        <v>9</v>
      </c>
    </row>
    <row r="4">
      <c r="A4" t="str">
        <v>P(A) = n(A)/n(S)</v>
      </c>
      <c r="B4">
        <f>(B3/B1)</f>
        <v>0.25</v>
      </c>
    </row>
  </sheetData>
  <pageMargins left="0.7" right="0.7" top="0.75" bottom="0.75" header="0.3" footer="0.3"/>
  <ignoredErrors>
    <ignoredError numberStoredAsText="1" sqref="A1:B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n(S)</v>
      </c>
      <c r="B1">
        <v>36</v>
      </c>
    </row>
    <row r="2">
      <c r="A2" t="str">
        <v>B: numbers less than equal to 4</v>
      </c>
    </row>
    <row r="3">
      <c r="A3" t="str">
        <v>B = {(1,1),..,(1,4),(2,1),..,(2,4),(3,1),..,(3,4),(4,1),..,(4,4)}</v>
      </c>
    </row>
    <row r="4">
      <c r="A4" t="str">
        <v>n(B)</v>
      </c>
      <c r="B4">
        <v>16</v>
      </c>
    </row>
    <row r="5">
      <c r="A5" t="str">
        <v>P(B) = n(B)/n(S)</v>
      </c>
      <c r="B5">
        <f>(B4/B1)</f>
        <v>0.4444444444444444</v>
      </c>
    </row>
  </sheetData>
  <pageMargins left="0.7" right="0.7" top="0.75" bottom="0.75" header="0.3" footer="0.3"/>
  <ignoredErrors>
    <ignoredError numberStoredAsText="1" sqref="A1:B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n(S)</v>
      </c>
      <c r="B1">
        <v>36</v>
      </c>
    </row>
    <row r="2">
      <c r="A2" t="str">
        <v>C ={(1,6),(2,6),(3,6),(4,6),(5,6),(6,1),(6,2),(6,3),(6,4),(6,5),(6,6)}</v>
      </c>
    </row>
    <row r="3">
      <c r="A3" t="str">
        <v>n(C)</v>
      </c>
      <c r="B3">
        <v>11</v>
      </c>
    </row>
    <row r="4">
      <c r="A4" t="str">
        <v>P(C) = n(C) / n(S)</v>
      </c>
    </row>
    <row r="5">
      <c r="A5" t="str">
        <v>P(C)</v>
      </c>
      <c r="B5">
        <f>(B3/B1)</f>
        <v>0.3055555555555556</v>
      </c>
    </row>
  </sheetData>
  <pageMargins left="0.7" right="0.7" top="0.75" bottom="0.75" header="0.3" footer="0.3"/>
  <ignoredErrors>
    <ignoredError numberStoredAsText="1" sqref="A1:B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n(S)</v>
      </c>
      <c r="B1">
        <v>36</v>
      </c>
    </row>
    <row r="2">
      <c r="A2" t="str">
        <v>D={(2,1),(2,3),(2,5),(4,1),(4,3),(4,5),(6,1),(6,3),(6,5)}</v>
      </c>
    </row>
    <row r="3">
      <c r="A3" t="str">
        <v>n(D)</v>
      </c>
      <c r="B3">
        <v>9</v>
      </c>
    </row>
    <row r="4">
      <c r="A4" t="str">
        <v>P(D) = n(D) / n(S)</v>
      </c>
    </row>
    <row r="5">
      <c r="A5" t="str">
        <v>P(D)</v>
      </c>
      <c r="B5">
        <f>(B3/B1)</f>
        <v>0.25</v>
      </c>
    </row>
  </sheetData>
  <pageMargins left="0.7" right="0.7" top="0.75" bottom="0.75" header="0.3" footer="0.3"/>
  <ignoredErrors>
    <ignoredError numberStoredAsText="1" sqref="A1:B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n(A)</v>
      </c>
      <c r="B1">
        <v>400</v>
      </c>
    </row>
    <row r="2">
      <c r="A2" t="str">
        <v>n(B)</v>
      </c>
      <c r="B2">
        <v>350</v>
      </c>
    </row>
    <row r="3">
      <c r="A3" t="str">
        <v>n(A ∩ B)</v>
      </c>
      <c r="B3">
        <v>200</v>
      </c>
    </row>
    <row r="5">
      <c r="A5" t="str">
        <v>P(B | A)</v>
      </c>
      <c r="B5">
        <f>(B3/B1)</f>
        <v>0.5</v>
      </c>
    </row>
    <row r="6">
      <c r="A6" t="str">
        <v>P(A | B)</v>
      </c>
      <c r="B6">
        <f>(B3/B2)</f>
        <v>0.5714285714285714</v>
      </c>
    </row>
    <row r="7">
      <c r="A7" t="str">
        <v>P(A ∩ B)</v>
      </c>
      <c r="B7">
        <f>(B2+B1-B3)</f>
        <v>550</v>
      </c>
    </row>
  </sheetData>
  <pageMargins left="0.7" right="0.7" top="0.75" bottom="0.75" header="0.3" footer="0.3"/>
  <ignoredErrors>
    <ignoredError numberStoredAsText="1" sqref="A1:B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P(D)</v>
      </c>
      <c r="B1">
        <v>0.05</v>
      </c>
    </row>
    <row r="2">
      <c r="A2" t="str">
        <v>P(R)</v>
      </c>
      <c r="B2">
        <v>0.02</v>
      </c>
    </row>
    <row r="3">
      <c r="A3" t="str">
        <v>P(D ∩ R)</v>
      </c>
      <c r="B3">
        <v>0.01</v>
      </c>
    </row>
    <row r="5">
      <c r="A5" t="str">
        <v>P(D ∩ R)</v>
      </c>
    </row>
    <row r="6">
      <c r="A6" t="str">
        <v>P(D) + P(R) - P(D ∩ R)</v>
      </c>
      <c r="B6">
        <f>(B1+B2-B3)</f>
        <v>0.060000000000000005</v>
      </c>
    </row>
    <row r="8">
      <c r="A8" t="str">
        <v>P(ND ∩ NR)</v>
      </c>
    </row>
    <row r="9">
      <c r="A9" t="str">
        <v>P(ND) + P(NR) - P(ND ∩ NR)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S={(1,1),(1,2),(1,3),(1,4),(1,5),(1,6),(2,1),(2,2),(2,3),(2,4),(2,5),(2,6),(3,1),(3,2),(3,3),(3,4),(3,4),(3,5),(3,6),(4,1),(4,2),(4,3),(4,4),(4,5),(4,6),(5,1),(5,2),(5,3),(5,4),(5,5),(5,6),(6,1),(6,2),(6,3),(6,4),(6,5),(6,6)</v>
      </c>
    </row>
    <row r="2">
      <c r="A2" t="str">
        <v>n(S)</v>
      </c>
      <c r="B2">
        <v>36</v>
      </c>
    </row>
    <row r="3">
      <c r="A3" t="str">
        <v>A={(1,6),(2,5),(3,4),(4,3),(5,2),(6,1),(5,6),(6,5)}</v>
      </c>
    </row>
    <row r="4">
      <c r="A4" t="str">
        <v>n(A)</v>
      </c>
      <c r="B4">
        <v>8</v>
      </c>
    </row>
    <row r="6">
      <c r="A6" t="str">
        <v>P(A)</v>
      </c>
      <c r="B6">
        <f>(B4/B2)</f>
        <v>0.2222222222222222</v>
      </c>
    </row>
    <row r="8">
      <c r="A8" t="str">
        <v>B={(4,4),(4,5),(4,6),(5,4),(5,5),(5,6),(6,4),(6,5),(6,6)}</v>
      </c>
    </row>
    <row r="9">
      <c r="A9" t="str">
        <v>n(B)</v>
      </c>
      <c r="B9">
        <v>9</v>
      </c>
    </row>
    <row r="11">
      <c r="A11" t="str">
        <v>P(B)</v>
      </c>
      <c r="B11">
        <f>(B9/B2)</f>
        <v>0.25</v>
      </c>
    </row>
    <row r="13">
      <c r="A13" t="str">
        <v>C={(1,4),(2,4),(3,4),(4,4),(5,4),(6,4)}</v>
      </c>
    </row>
    <row r="14">
      <c r="A14" t="str">
        <v>n©</v>
      </c>
      <c r="B14">
        <v>6</v>
      </c>
    </row>
    <row r="16">
      <c r="A16" t="str">
        <v>P©</v>
      </c>
      <c r="B16">
        <f>(B14/B2)</f>
        <v>0.16666666666666666</v>
      </c>
    </row>
    <row r="18">
      <c r="A18" t="str">
        <v>A={(2,6),6,2),(3,5),(5,3),(4,4)}</v>
      </c>
    </row>
    <row r="19">
      <c r="A19" t="str">
        <v>n(A)</v>
      </c>
      <c r="B19">
        <v>5</v>
      </c>
    </row>
    <row r="21">
      <c r="A21" t="str">
        <v>B={(5,1),(5,2),(5,3),(5,4),(5,5),(5,6)}</v>
      </c>
    </row>
    <row r="22">
      <c r="A22" t="str">
        <v>n(B)</v>
      </c>
      <c r="B22">
        <v>6</v>
      </c>
    </row>
    <row r="24">
      <c r="A24" t="str">
        <v>AꓵB={(5,3)}</v>
      </c>
      <c r="C24" t="str">
        <v>n(AꓵB)</v>
      </c>
      <c r="D24">
        <v>1</v>
      </c>
    </row>
    <row r="25">
      <c r="A25" t="str">
        <v>P(B)</v>
      </c>
      <c r="B25">
        <f>(B22/B2)</f>
        <v>0.16666666666666666</v>
      </c>
    </row>
    <row r="26">
      <c r="A26" t="str">
        <v>P(AꓵB)</v>
      </c>
      <c r="B26">
        <f>(D24/B2)</f>
        <v>0.027777777777777776</v>
      </c>
    </row>
    <row r="27">
      <c r="A27" t="str">
        <v>P(A|B)</v>
      </c>
      <c r="B27">
        <f>(B26/B25)</f>
        <v>0.16666666666666666</v>
      </c>
    </row>
  </sheetData>
  <pageMargins left="0.7" right="0.7" top="0.75" bottom="0.75" header="0.3" footer="0.3"/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SM Practical-5 26302A3005excel </vt:lpstr>
      <vt:lpstr>SM Practical-5 26302A3005ex (1)</vt:lpstr>
      <vt:lpstr>SM Practical-5 26302A3005ex (2)</vt:lpstr>
      <vt:lpstr>SM Practical-5 26302A3005ex (3)</vt:lpstr>
      <vt:lpstr>SM Practical-5 26302A3005ex (4)</vt:lpstr>
      <vt:lpstr>SM Practical-4 26302A3005excel </vt:lpstr>
      <vt:lpstr>SM Practical-4 26302A3005ex (1)</vt:lpstr>
      <vt:lpstr>SM Practical-4 26302A3005ex (2)</vt:lpstr>
      <vt:lpstr>SM Practical-4 26302A3005ex (3)</vt:lpstr>
      <vt:lpstr>SM Practical-4 26302A3005ex (4)</vt:lpstr>
      <vt:lpstr>SM Practical-3 26302A3005excel </vt:lpstr>
      <vt:lpstr>SM Practical-3 26302A3005ex (1)</vt:lpstr>
      <vt:lpstr>SM Practical-3 26302A3005ex (2)</vt:lpstr>
      <vt:lpstr>SM Practical-3 26302A3005ex (3)</vt:lpstr>
      <vt:lpstr>SM Practical-3 26302A3005ex (4)</vt:lpstr>
      <vt:lpstr>SM Practical-3 26302A3005ex (5)</vt:lpstr>
      <vt:lpstr>SM Practical-1 26302A3005excel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